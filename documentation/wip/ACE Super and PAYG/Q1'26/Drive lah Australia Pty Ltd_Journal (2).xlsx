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2" i="1" l="1"/>
</calcChain>
</file>

<file path=xl/sharedStrings.xml><?xml version="1.0" encoding="utf-8"?>
<sst xmlns="http://schemas.openxmlformats.org/spreadsheetml/2006/main" count="235" uniqueCount="59">
  <si>
    <t>Journal</t>
  </si>
  <si>
    <t>Drive lah Australia Pty Ltd</t>
  </si>
  <si>
    <t>January-March, 2026</t>
  </si>
  <si>
    <t>100</t>
  </si>
  <si>
    <t>30/01/2026</t>
  </si>
  <si>
    <t>Journal Entry</t>
  </si>
  <si>
    <t>90</t>
  </si>
  <si>
    <t/>
  </si>
  <si>
    <t>Wages and Salary for pay period ending 31/01/2026</t>
  </si>
  <si>
    <t>Payroll clearing</t>
  </si>
  <si>
    <t>Wages Expense for pay period ending 31/01/2026 (Drive lah Australia Pty Ltd)</t>
  </si>
  <si>
    <t>Wages Expense</t>
  </si>
  <si>
    <t>PAYG Liability for pay period ending 31/01/2026</t>
  </si>
  <si>
    <t>PAYG Liability</t>
  </si>
  <si>
    <t>Superannuation Expense for pay period ending 31/01/2026</t>
  </si>
  <si>
    <t>Superannuation Expense</t>
  </si>
  <si>
    <t>Superannuation Liability for pay period ending 31/01/2026</t>
  </si>
  <si>
    <t>Superannuation payable</t>
  </si>
  <si>
    <t>Total for 100</t>
  </si>
  <si>
    <t>101</t>
  </si>
  <si>
    <t>91</t>
  </si>
  <si>
    <t>Total for 101</t>
  </si>
  <si>
    <t>102</t>
  </si>
  <si>
    <t>31/01/2026</t>
  </si>
  <si>
    <t>92</t>
  </si>
  <si>
    <t>Total for 102</t>
  </si>
  <si>
    <t>103</t>
  </si>
  <si>
    <t>27/02/2026</t>
  </si>
  <si>
    <t>93</t>
  </si>
  <si>
    <t>Wages and Salary for pay period ending 28/02/2026</t>
  </si>
  <si>
    <t>Wages Expense for pay period ending 28/02/2026 (Drive lah Australia Pty Ltd)</t>
  </si>
  <si>
    <t>PAYG Liability for pay period ending 28/02/2026</t>
  </si>
  <si>
    <t>Superannuation Expense for pay period ending 28/02/2026</t>
  </si>
  <si>
    <t>Superannuation Liability for pay period ending 28/02/2026</t>
  </si>
  <si>
    <t>GST Liabilities Payable</t>
  </si>
  <si>
    <t>Total for 103</t>
  </si>
  <si>
    <t>104</t>
  </si>
  <si>
    <t>13/03/2026</t>
  </si>
  <si>
    <t>94</t>
  </si>
  <si>
    <t>Wages and Salary for pay period ending 31/03/2026</t>
  </si>
  <si>
    <t>Wages Expense for pay period ending 31/03/2026 (Drive lah Australia Pty Ltd)</t>
  </si>
  <si>
    <t>PAYG Liability for pay period ending 31/03/2026</t>
  </si>
  <si>
    <t>Superannuation Expense for pay period ending 31/03/2026</t>
  </si>
  <si>
    <t>Superannuation Liability for pay period ending 31/03/2026</t>
  </si>
  <si>
    <t>Total for 104</t>
  </si>
  <si>
    <t>105</t>
  </si>
  <si>
    <t>31/03/2026</t>
  </si>
  <si>
    <t>95</t>
  </si>
  <si>
    <t>Total for 105</t>
  </si>
  <si>
    <t>TOTAL</t>
  </si>
  <si>
    <t>Transaction date</t>
  </si>
  <si>
    <t>Transaction type</t>
  </si>
  <si>
    <t>No.</t>
  </si>
  <si>
    <t>Name</t>
  </si>
  <si>
    <t>Memo/Description</t>
  </si>
  <si>
    <t>Full name</t>
  </si>
  <si>
    <t>Debit</t>
  </si>
  <si>
    <t>Credit</t>
  </si>
  <si>
    <t xml:space="preserve"> Thursday, 16 April 2026 01:04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</si>
</sst>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A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4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2" xfId="0" applyFont="1" applyBorder="1"/>
    <xf numFmtId="0" fontId="4" fillId="0" borderId="2" xfId="0" applyFont="1" applyBorder="1"/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" xfId="20" applyFont="1" applyBorder="1" applyAlignment="1">
      <alignment wrapText="1"/>
      <protection/>
    </xf>
    <xf numFmtId="0" fontId="8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57"/>
  <sheetViews>
    <sheetView tabSelected="1" workbookViewId="0" topLeftCell="A1"/>
  </sheetViews>
  <sheetFormatPr defaultColWidth="11.255" defaultRowHeight="16"/>
  <cols>
    <col min="1" max="1" width="11.75" style="23" customWidth="1"/>
    <col min="2" max="3" width="14.375" style="23" customWidth="1"/>
    <col min="4" max="5" width="7.5" style="23" customWidth="1"/>
    <col min="6" max="6" width="66" style="23" customWidth="1"/>
    <col min="7" max="7" width="20.375" style="23" customWidth="1"/>
    <col min="8" max="9" width="16.125" style="23" customWidth="1"/>
  </cols>
  <sheetData>
    <row r="1" spans="1:1" ht="16">
      <c r="A1" s="28" t="s">
        <v>0</v>
      </c>
    </row>
    <row r="2" spans="1:1" ht="16">
      <c r="A2" s="29" t="s">
        <v>1</v>
      </c>
    </row>
    <row r="3" spans="1:1" ht="16">
      <c r="A3" s="30" t="s">
        <v>2</v>
      </c>
    </row>
    <row r="5" spans="2:9" ht="16">
      <c r="B5" s="25" t="s">
        <v>50</v>
      </c>
      <c r="C5" s="25" t="s">
        <v>51</v>
      </c>
      <c r="D5" s="25" t="s">
        <v>52</v>
      </c>
      <c r="E5" s="25" t="s">
        <v>53</v>
      </c>
      <c r="F5" s="25" t="s">
        <v>54</v>
      </c>
      <c r="G5" s="25" t="s">
        <v>55</v>
      </c>
      <c r="H5" s="25" t="s">
        <v>56</v>
      </c>
      <c r="I5" s="25" t="s">
        <v>57</v>
      </c>
    </row>
    <row r="6" spans="1:1" ht="16">
      <c r="A6" s="31" t="s">
        <v>3</v>
      </c>
    </row>
    <row r="7" spans="2:9" ht="16">
      <c r="B7" s="21" t="s">
        <v>4</v>
      </c>
      <c r="C7" s="21" t="s">
        <v>5</v>
      </c>
      <c r="D7" s="21" t="s">
        <v>6</v>
      </c>
      <c r="E7" s="21" t="s">
        <v>7</v>
      </c>
      <c r="F7" s="21" t="s">
        <v>8</v>
      </c>
      <c r="G7" s="21" t="s">
        <v>9</v>
      </c>
      <c r="H7" s="21"/>
      <c r="I7" s="26">
        <v>13989.84</v>
      </c>
    </row>
    <row r="8" spans="2:9" ht="16">
      <c r="B8" s="21" t="s">
        <v>4</v>
      </c>
      <c r="C8" s="21" t="s">
        <v>5</v>
      </c>
      <c r="D8" s="21" t="s">
        <v>6</v>
      </c>
      <c r="E8" s="21" t="s">
        <v>7</v>
      </c>
      <c r="F8" s="21" t="s">
        <v>10</v>
      </c>
      <c r="G8" s="21" t="s">
        <v>11</v>
      </c>
      <c r="H8" s="26">
        <v>18370.84</v>
      </c>
      <c r="I8" s="21"/>
    </row>
    <row r="9" spans="2:9" ht="16">
      <c r="B9" s="21" t="s">
        <v>4</v>
      </c>
      <c r="C9" s="21" t="s">
        <v>5</v>
      </c>
      <c r="D9" s="21" t="s">
        <v>6</v>
      </c>
      <c r="E9" s="21" t="s">
        <v>7</v>
      </c>
      <c r="F9" s="21" t="s">
        <v>12</v>
      </c>
      <c r="G9" s="21" t="s">
        <v>13</v>
      </c>
      <c r="H9" s="21"/>
      <c r="I9" s="26">
        <v>4381.0</v>
      </c>
    </row>
    <row r="10" spans="2:9" ht="16">
      <c r="B10" s="21" t="s">
        <v>4</v>
      </c>
      <c r="C10" s="21" t="s">
        <v>5</v>
      </c>
      <c r="D10" s="21" t="s">
        <v>6</v>
      </c>
      <c r="E10" s="21" t="s">
        <v>7</v>
      </c>
      <c r="F10" s="21" t="s">
        <v>14</v>
      </c>
      <c r="G10" s="21" t="s">
        <v>15</v>
      </c>
      <c r="H10" s="26">
        <v>2204.5</v>
      </c>
      <c r="I10" s="21"/>
    </row>
    <row r="11" spans="2:9" ht="16">
      <c r="B11" s="21" t="s">
        <v>4</v>
      </c>
      <c r="C11" s="21" t="s">
        <v>5</v>
      </c>
      <c r="D11" s="21" t="s">
        <v>6</v>
      </c>
      <c r="E11" s="21" t="s">
        <v>7</v>
      </c>
      <c r="F11" s="21" t="s">
        <v>16</v>
      </c>
      <c r="G11" s="21" t="s">
        <v>17</v>
      </c>
      <c r="H11" s="21"/>
      <c r="I11" s="26">
        <v>2204.5</v>
      </c>
    </row>
    <row r="12" spans="1:9" ht="16">
      <c r="A12" s="32" t="s">
        <v>18</v>
      </c>
      <c r="H12" s="27">
        <f>H7+H8+H9+H10+H11</f>
        <v>20575.34</v>
      </c>
      <c r="I12" s="27">
        <f>I7+I8+I9+I10+I11</f>
        <v>20575.34</v>
      </c>
    </row>
    <row r="13" spans="1:1" ht="16">
      <c r="A13" s="31" t="s">
        <v>19</v>
      </c>
    </row>
    <row r="14" spans="2:9" ht="16">
      <c r="B14" s="21" t="s">
        <v>4</v>
      </c>
      <c r="C14" s="21" t="s">
        <v>5</v>
      </c>
      <c r="D14" s="21" t="s">
        <v>20</v>
      </c>
      <c r="E14" s="21" t="s">
        <v>7</v>
      </c>
      <c r="F14" s="21" t="s">
        <v>8</v>
      </c>
      <c r="G14" s="21" t="s">
        <v>9</v>
      </c>
      <c r="H14" s="21"/>
      <c r="I14" s="26">
        <v>5942.44</v>
      </c>
    </row>
    <row r="15" spans="2:9" ht="16">
      <c r="B15" s="21" t="s">
        <v>4</v>
      </c>
      <c r="C15" s="21" t="s">
        <v>5</v>
      </c>
      <c r="D15" s="21" t="s">
        <v>20</v>
      </c>
      <c r="E15" s="21" t="s">
        <v>7</v>
      </c>
      <c r="F15" s="21" t="s">
        <v>10</v>
      </c>
      <c r="G15" s="21" t="s">
        <v>11</v>
      </c>
      <c r="H15" s="26">
        <v>7615.44</v>
      </c>
      <c r="I15" s="21"/>
    </row>
    <row r="16" spans="2:9" ht="16">
      <c r="B16" s="21" t="s">
        <v>4</v>
      </c>
      <c r="C16" s="21" t="s">
        <v>5</v>
      </c>
      <c r="D16" s="21" t="s">
        <v>20</v>
      </c>
      <c r="E16" s="21" t="s">
        <v>7</v>
      </c>
      <c r="F16" s="21" t="s">
        <v>12</v>
      </c>
      <c r="G16" s="21" t="s">
        <v>13</v>
      </c>
      <c r="H16" s="21"/>
      <c r="I16" s="26">
        <v>1673.0</v>
      </c>
    </row>
    <row r="17" spans="2:9" ht="16">
      <c r="B17" s="21" t="s">
        <v>4</v>
      </c>
      <c r="C17" s="21" t="s">
        <v>5</v>
      </c>
      <c r="D17" s="21" t="s">
        <v>20</v>
      </c>
      <c r="E17" s="21" t="s">
        <v>7</v>
      </c>
      <c r="F17" s="21" t="s">
        <v>14</v>
      </c>
      <c r="G17" s="21" t="s">
        <v>15</v>
      </c>
      <c r="H17" s="26">
        <v>913.85</v>
      </c>
      <c r="I17" s="21"/>
    </row>
    <row r="18" spans="2:9" ht="16">
      <c r="B18" s="21" t="s">
        <v>4</v>
      </c>
      <c r="C18" s="21" t="s">
        <v>5</v>
      </c>
      <c r="D18" s="21" t="s">
        <v>20</v>
      </c>
      <c r="E18" s="21" t="s">
        <v>7</v>
      </c>
      <c r="F18" s="21" t="s">
        <v>16</v>
      </c>
      <c r="G18" s="21" t="s">
        <v>17</v>
      </c>
      <c r="H18" s="21"/>
      <c r="I18" s="26">
        <v>913.85</v>
      </c>
    </row>
    <row r="19" spans="1:9" ht="16">
      <c r="A19" s="32" t="s">
        <v>21</v>
      </c>
      <c r="H19" s="27">
        <f>H14+H15+H16+H17+H18</f>
        <v>8529.289999999999</v>
      </c>
      <c r="I19" s="27">
        <f>I14+I15+I16+I17+I18</f>
        <v>8529.289999999999</v>
      </c>
    </row>
    <row r="20" spans="1:1" ht="16">
      <c r="A20" s="31" t="s">
        <v>22</v>
      </c>
    </row>
    <row r="21" spans="2:9" ht="16">
      <c r="B21" s="21" t="s">
        <v>23</v>
      </c>
      <c r="C21" s="21" t="s">
        <v>5</v>
      </c>
      <c r="D21" s="21" t="s">
        <v>24</v>
      </c>
      <c r="E21" s="21" t="s">
        <v>7</v>
      </c>
      <c r="F21" s="21" t="s">
        <v>8</v>
      </c>
      <c r="G21" s="21" t="s">
        <v>9</v>
      </c>
      <c r="H21" s="21"/>
      <c r="I21" s="26">
        <v>1269.87</v>
      </c>
    </row>
    <row r="22" spans="2:9" ht="16">
      <c r="B22" s="21" t="s">
        <v>23</v>
      </c>
      <c r="C22" s="21" t="s">
        <v>5</v>
      </c>
      <c r="D22" s="21" t="s">
        <v>24</v>
      </c>
      <c r="E22" s="21" t="s">
        <v>7</v>
      </c>
      <c r="F22" s="21" t="s">
        <v>10</v>
      </c>
      <c r="G22" s="21" t="s">
        <v>11</v>
      </c>
      <c r="H22" s="26">
        <v>1269.87</v>
      </c>
      <c r="I22" s="21"/>
    </row>
    <row r="23" spans="2:9" ht="16">
      <c r="B23" s="21" t="s">
        <v>23</v>
      </c>
      <c r="C23" s="21" t="s">
        <v>5</v>
      </c>
      <c r="D23" s="21" t="s">
        <v>24</v>
      </c>
      <c r="E23" s="21" t="s">
        <v>7</v>
      </c>
      <c r="F23" s="21" t="s">
        <v>14</v>
      </c>
      <c r="G23" s="21" t="s">
        <v>15</v>
      </c>
      <c r="H23" s="26">
        <v>152.38</v>
      </c>
      <c r="I23" s="21"/>
    </row>
    <row r="24" spans="2:9" ht="16">
      <c r="B24" s="21" t="s">
        <v>23</v>
      </c>
      <c r="C24" s="21" t="s">
        <v>5</v>
      </c>
      <c r="D24" s="21" t="s">
        <v>24</v>
      </c>
      <c r="E24" s="21" t="s">
        <v>7</v>
      </c>
      <c r="F24" s="21" t="s">
        <v>16</v>
      </c>
      <c r="G24" s="21" t="s">
        <v>17</v>
      </c>
      <c r="H24" s="21"/>
      <c r="I24" s="26">
        <v>152.38</v>
      </c>
    </row>
    <row r="25" spans="1:9" ht="16">
      <c r="A25" s="32" t="s">
        <v>25</v>
      </c>
      <c r="H25" s="27">
        <f>H21+H22+H23+H24</f>
        <v>1422.25</v>
      </c>
      <c r="I25" s="27">
        <f>I21+I22+I23+I24</f>
        <v>1422.25</v>
      </c>
    </row>
    <row r="26" spans="1:1" ht="16">
      <c r="A26" s="31" t="s">
        <v>26</v>
      </c>
    </row>
    <row r="27" spans="2:9" ht="16">
      <c r="B27" s="21" t="s">
        <v>27</v>
      </c>
      <c r="C27" s="21" t="s">
        <v>5</v>
      </c>
      <c r="D27" s="21" t="s">
        <v>28</v>
      </c>
      <c r="E27" s="21" t="s">
        <v>7</v>
      </c>
      <c r="F27" s="21" t="s">
        <v>29</v>
      </c>
      <c r="G27" s="21" t="s">
        <v>9</v>
      </c>
      <c r="H27" s="21"/>
      <c r="I27" s="26">
        <v>20842.54</v>
      </c>
    </row>
    <row r="28" spans="2:9" ht="16">
      <c r="B28" s="21" t="s">
        <v>27</v>
      </c>
      <c r="C28" s="21" t="s">
        <v>5</v>
      </c>
      <c r="D28" s="21" t="s">
        <v>28</v>
      </c>
      <c r="E28" s="21" t="s">
        <v>7</v>
      </c>
      <c r="F28" s="21" t="s">
        <v>30</v>
      </c>
      <c r="G28" s="21" t="s">
        <v>11</v>
      </c>
      <c r="H28" s="26">
        <v>26185.54</v>
      </c>
      <c r="I28" s="21"/>
    </row>
    <row r="29" spans="2:9" ht="16">
      <c r="B29" s="21" t="s">
        <v>27</v>
      </c>
      <c r="C29" s="21" t="s">
        <v>5</v>
      </c>
      <c r="D29" s="21" t="s">
        <v>28</v>
      </c>
      <c r="E29" s="21" t="s">
        <v>7</v>
      </c>
      <c r="F29" s="21" t="s">
        <v>31</v>
      </c>
      <c r="G29" s="21" t="s">
        <v>13</v>
      </c>
      <c r="H29" s="21"/>
      <c r="I29" s="26">
        <v>5343.0</v>
      </c>
    </row>
    <row r="30" spans="2:9" ht="16">
      <c r="B30" s="21" t="s">
        <v>27</v>
      </c>
      <c r="C30" s="21" t="s">
        <v>5</v>
      </c>
      <c r="D30" s="21" t="s">
        <v>28</v>
      </c>
      <c r="E30" s="21" t="s">
        <v>7</v>
      </c>
      <c r="F30" s="21" t="s">
        <v>32</v>
      </c>
      <c r="G30" s="21" t="s">
        <v>15</v>
      </c>
      <c r="H30" s="26">
        <v>3142.27</v>
      </c>
      <c r="I30" s="21"/>
    </row>
    <row r="31" spans="2:9" ht="16">
      <c r="B31" s="21" t="s">
        <v>27</v>
      </c>
      <c r="C31" s="21" t="s">
        <v>5</v>
      </c>
      <c r="D31" s="21" t="s">
        <v>28</v>
      </c>
      <c r="E31" s="21" t="s">
        <v>7</v>
      </c>
      <c r="F31" s="21" t="s">
        <v>33</v>
      </c>
      <c r="G31" s="21" t="s">
        <v>17</v>
      </c>
      <c r="H31" s="21"/>
      <c r="I31" s="26">
        <v>3142.27</v>
      </c>
    </row>
    <row r="32" spans="2:9" ht="16">
      <c r="B32" s="21" t="s">
        <v>27</v>
      </c>
      <c r="C32" s="21" t="s">
        <v>5</v>
      </c>
      <c r="D32" s="21" t="s">
        <v>28</v>
      </c>
      <c r="E32" s="21" t="s">
        <v>7</v>
      </c>
      <c r="F32" s="21" t="s">
        <v>7</v>
      </c>
      <c r="G32" s="21" t="s">
        <v>34</v>
      </c>
      <c r="H32" s="26">
        <v>0</v>
      </c>
      <c r="I32" s="21"/>
    </row>
    <row r="33" spans="2:9" ht="16">
      <c r="B33" s="21" t="s">
        <v>27</v>
      </c>
      <c r="C33" s="21" t="s">
        <v>5</v>
      </c>
      <c r="D33" s="21" t="s">
        <v>28</v>
      </c>
      <c r="E33" s="21" t="s">
        <v>7</v>
      </c>
      <c r="F33" s="21" t="s">
        <v>7</v>
      </c>
      <c r="G33" s="21" t="s">
        <v>34</v>
      </c>
      <c r="H33" s="26">
        <v>0</v>
      </c>
      <c r="I33" s="21"/>
    </row>
    <row r="34" spans="1:9" ht="16">
      <c r="A34" s="32" t="s">
        <v>35</v>
      </c>
      <c r="H34" s="27">
        <f>H27+H28+H29+H30+H31+H32+H33</f>
        <v>29327.81</v>
      </c>
      <c r="I34" s="27">
        <f>I27+I28+I29+I30+I31+I32+I33</f>
        <v>29327.81</v>
      </c>
    </row>
    <row r="35" spans="1:1" ht="16">
      <c r="A35" s="31" t="s">
        <v>36</v>
      </c>
    </row>
    <row r="36" spans="2:9" ht="16">
      <c r="B36" s="21" t="s">
        <v>37</v>
      </c>
      <c r="C36" s="21" t="s">
        <v>5</v>
      </c>
      <c r="D36" s="21" t="s">
        <v>38</v>
      </c>
      <c r="E36" s="21" t="s">
        <v>7</v>
      </c>
      <c r="F36" s="21" t="s">
        <v>39</v>
      </c>
      <c r="G36" s="21" t="s">
        <v>9</v>
      </c>
      <c r="H36" s="21"/>
      <c r="I36" s="26">
        <v>10505.86</v>
      </c>
    </row>
    <row r="37" spans="2:9" ht="16">
      <c r="B37" s="21" t="s">
        <v>37</v>
      </c>
      <c r="C37" s="21" t="s">
        <v>5</v>
      </c>
      <c r="D37" s="21" t="s">
        <v>38</v>
      </c>
      <c r="E37" s="21" t="s">
        <v>7</v>
      </c>
      <c r="F37" s="21" t="s">
        <v>40</v>
      </c>
      <c r="G37" s="21" t="s">
        <v>11</v>
      </c>
      <c r="H37" s="26">
        <v>15935.86</v>
      </c>
      <c r="I37" s="21"/>
    </row>
    <row r="38" spans="2:9" ht="16">
      <c r="B38" s="21" t="s">
        <v>37</v>
      </c>
      <c r="C38" s="21" t="s">
        <v>5</v>
      </c>
      <c r="D38" s="21" t="s">
        <v>38</v>
      </c>
      <c r="E38" s="21" t="s">
        <v>7</v>
      </c>
      <c r="F38" s="21" t="s">
        <v>41</v>
      </c>
      <c r="G38" s="21" t="s">
        <v>13</v>
      </c>
      <c r="H38" s="21"/>
      <c r="I38" s="26">
        <v>5430.0</v>
      </c>
    </row>
    <row r="39" spans="2:9" ht="16">
      <c r="B39" s="21" t="s">
        <v>37</v>
      </c>
      <c r="C39" s="21" t="s">
        <v>5</v>
      </c>
      <c r="D39" s="21" t="s">
        <v>38</v>
      </c>
      <c r="E39" s="21" t="s">
        <v>7</v>
      </c>
      <c r="F39" s="21" t="s">
        <v>42</v>
      </c>
      <c r="G39" s="21" t="s">
        <v>15</v>
      </c>
      <c r="H39" s="26">
        <v>324.12</v>
      </c>
      <c r="I39" s="21"/>
    </row>
    <row r="40" spans="2:9" ht="16">
      <c r="B40" s="21" t="s">
        <v>37</v>
      </c>
      <c r="C40" s="21" t="s">
        <v>5</v>
      </c>
      <c r="D40" s="21" t="s">
        <v>38</v>
      </c>
      <c r="E40" s="21" t="s">
        <v>7</v>
      </c>
      <c r="F40" s="21" t="s">
        <v>43</v>
      </c>
      <c r="G40" s="21" t="s">
        <v>17</v>
      </c>
      <c r="H40" s="21"/>
      <c r="I40" s="26">
        <v>324.12</v>
      </c>
    </row>
    <row r="41" spans="2:9" ht="16">
      <c r="B41" s="21" t="s">
        <v>37</v>
      </c>
      <c r="C41" s="21" t="s">
        <v>5</v>
      </c>
      <c r="D41" s="21" t="s">
        <v>38</v>
      </c>
      <c r="E41" s="21" t="s">
        <v>7</v>
      </c>
      <c r="F41" s="21" t="s">
        <v>7</v>
      </c>
      <c r="G41" s="21" t="s">
        <v>34</v>
      </c>
      <c r="H41" s="26">
        <v>0</v>
      </c>
      <c r="I41" s="21"/>
    </row>
    <row r="42" spans="2:9" ht="16">
      <c r="B42" s="21" t="s">
        <v>37</v>
      </c>
      <c r="C42" s="21" t="s">
        <v>5</v>
      </c>
      <c r="D42" s="21" t="s">
        <v>38</v>
      </c>
      <c r="E42" s="21" t="s">
        <v>7</v>
      </c>
      <c r="F42" s="21" t="s">
        <v>7</v>
      </c>
      <c r="G42" s="21" t="s">
        <v>34</v>
      </c>
      <c r="H42" s="26">
        <v>0</v>
      </c>
      <c r="I42" s="21"/>
    </row>
    <row r="43" spans="1:9" ht="16">
      <c r="A43" s="32" t="s">
        <v>44</v>
      </c>
      <c r="H43" s="27">
        <f>H36+H37+H38+H39+H40+H41+H42</f>
        <v>16259.980000000001</v>
      </c>
      <c r="I43" s="27">
        <f>I36+I37+I38+I39+I40+I41+I42</f>
        <v>16259.980000000001</v>
      </c>
    </row>
    <row r="44" spans="1:1" ht="16">
      <c r="A44" s="31" t="s">
        <v>45</v>
      </c>
    </row>
    <row r="45" spans="2:9" ht="16">
      <c r="B45" s="21" t="s">
        <v>46</v>
      </c>
      <c r="C45" s="21" t="s">
        <v>5</v>
      </c>
      <c r="D45" s="21" t="s">
        <v>47</v>
      </c>
      <c r="E45" s="21" t="s">
        <v>7</v>
      </c>
      <c r="F45" s="21" t="s">
        <v>39</v>
      </c>
      <c r="G45" s="21" t="s">
        <v>9</v>
      </c>
      <c r="H45" s="21"/>
      <c r="I45" s="26">
        <v>14284.02</v>
      </c>
    </row>
    <row r="46" spans="2:9" ht="16">
      <c r="B46" s="21" t="s">
        <v>46</v>
      </c>
      <c r="C46" s="21" t="s">
        <v>5</v>
      </c>
      <c r="D46" s="21" t="s">
        <v>47</v>
      </c>
      <c r="E46" s="21" t="s">
        <v>7</v>
      </c>
      <c r="F46" s="21" t="s">
        <v>40</v>
      </c>
      <c r="G46" s="21" t="s">
        <v>11</v>
      </c>
      <c r="H46" s="26">
        <v>17672.02</v>
      </c>
      <c r="I46" s="21"/>
    </row>
    <row r="47" spans="2:9" ht="16">
      <c r="B47" s="21" t="s">
        <v>46</v>
      </c>
      <c r="C47" s="21" t="s">
        <v>5</v>
      </c>
      <c r="D47" s="21" t="s">
        <v>47</v>
      </c>
      <c r="E47" s="21" t="s">
        <v>7</v>
      </c>
      <c r="F47" s="21" t="s">
        <v>41</v>
      </c>
      <c r="G47" s="21" t="s">
        <v>13</v>
      </c>
      <c r="H47" s="21"/>
      <c r="I47" s="26">
        <v>3388.0</v>
      </c>
    </row>
    <row r="48" spans="2:9" ht="16">
      <c r="B48" s="21" t="s">
        <v>46</v>
      </c>
      <c r="C48" s="21" t="s">
        <v>5</v>
      </c>
      <c r="D48" s="21" t="s">
        <v>47</v>
      </c>
      <c r="E48" s="21" t="s">
        <v>7</v>
      </c>
      <c r="F48" s="21" t="s">
        <v>42</v>
      </c>
      <c r="G48" s="21" t="s">
        <v>15</v>
      </c>
      <c r="H48" s="26">
        <v>2120.64</v>
      </c>
      <c r="I48" s="21"/>
    </row>
    <row r="49" spans="2:9" ht="16">
      <c r="B49" s="21" t="s">
        <v>46</v>
      </c>
      <c r="C49" s="21" t="s">
        <v>5</v>
      </c>
      <c r="D49" s="21" t="s">
        <v>47</v>
      </c>
      <c r="E49" s="21" t="s">
        <v>7</v>
      </c>
      <c r="F49" s="21" t="s">
        <v>43</v>
      </c>
      <c r="G49" s="21" t="s">
        <v>17</v>
      </c>
      <c r="H49" s="21"/>
      <c r="I49" s="26">
        <v>2120.64</v>
      </c>
    </row>
    <row r="50" spans="2:9" ht="16">
      <c r="B50" s="21" t="s">
        <v>46</v>
      </c>
      <c r="C50" s="21" t="s">
        <v>5</v>
      </c>
      <c r="D50" s="21" t="s">
        <v>47</v>
      </c>
      <c r="E50" s="21" t="s">
        <v>7</v>
      </c>
      <c r="F50" s="21" t="s">
        <v>7</v>
      </c>
      <c r="G50" s="21" t="s">
        <v>34</v>
      </c>
      <c r="H50" s="26">
        <v>0</v>
      </c>
      <c r="I50" s="21"/>
    </row>
    <row r="51" spans="2:9" ht="16">
      <c r="B51" s="21" t="s">
        <v>46</v>
      </c>
      <c r="C51" s="21" t="s">
        <v>5</v>
      </c>
      <c r="D51" s="21" t="s">
        <v>47</v>
      </c>
      <c r="E51" s="21" t="s">
        <v>7</v>
      </c>
      <c r="F51" s="21" t="s">
        <v>7</v>
      </c>
      <c r="G51" s="21" t="s">
        <v>34</v>
      </c>
      <c r="H51" s="26">
        <v>0</v>
      </c>
      <c r="I51" s="21"/>
    </row>
    <row r="52" spans="1:9" ht="16">
      <c r="A52" s="32" t="s">
        <v>48</v>
      </c>
      <c r="H52" s="27">
        <f>H45+H46+H47+H48+H49+H50+H51</f>
        <v>19792.66</v>
      </c>
      <c r="I52" s="27">
        <f>I45+I46+I47+I48+I49+I50+I51</f>
        <v>19792.66</v>
      </c>
    </row>
    <row r="53" spans="2:9" ht="16">
      <c r="B53" s="22" t="s">
        <v>49</v>
      </c>
      <c r="H53" s="27">
        <v>95907.33</v>
      </c>
      <c r="I53" s="27">
        <v>95907.33</v>
      </c>
    </row>
    <row r="57" spans="1:1" ht="16">
      <c r="A57" s="33" t="s">
        <v>58</v>
      </c>
    </row>
  </sheetData>
  <mergeCells count="4">
    <mergeCell ref="A1:H1"/>
    <mergeCell ref="A2:H2"/>
    <mergeCell ref="A3:H3"/>
    <mergeCell ref="A57:H5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